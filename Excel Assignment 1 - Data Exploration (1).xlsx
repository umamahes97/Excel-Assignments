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4d9c0ddcf1e3a51/Desktop/"/>
    </mc:Choice>
  </mc:AlternateContent>
  <xr:revisionPtr revIDLastSave="9" documentId="8_{666569AD-856F-4FBE-9900-FE575476A320}" xr6:coauthVersionLast="47" xr6:coauthVersionMax="47" xr10:uidLastSave="{BA6A6FFF-EC30-4B1A-BE35-64228DEC5E39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Dataset!$A$1:$P$35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P27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P2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2" i="2"/>
  <c r="N16" i="2"/>
  <c r="N11" i="2"/>
  <c r="L24" i="2"/>
  <c r="L17" i="2"/>
  <c r="L11" i="2"/>
</calcChain>
</file>

<file path=xl/sharedStrings.xml><?xml version="1.0" encoding="utf-8"?>
<sst xmlns="http://schemas.openxmlformats.org/spreadsheetml/2006/main" count="198" uniqueCount="149">
  <si>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</si>
  <si>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</si>
  <si>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</si>
  <si>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</si>
  <si>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</si>
  <si>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</si>
  <si>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</si>
  <si>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</si>
  <si>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</si>
  <si>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</si>
  <si>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</si>
  <si>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</si>
  <si>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</si>
  <si>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</si>
  <si>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</si>
  <si>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</si>
  <si>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</si>
  <si>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</si>
  <si>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</si>
  <si>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</si>
  <si>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</si>
  <si>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</si>
  <si>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</si>
  <si>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</si>
  <si>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</si>
  <si>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</si>
  <si>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</si>
  <si>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</si>
  <si>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</si>
  <si>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</si>
  <si>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</si>
  <si>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</si>
  <si>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</si>
  <si>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</si>
  <si>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</si>
  <si>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</si>
  <si>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</si>
  <si>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</si>
  <si>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</si>
  <si>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</si>
  <si>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</si>
  <si>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</si>
  <si>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</si>
  <si>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</si>
  <si>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</si>
  <si>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</si>
  <si>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</si>
  <si>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</si>
  <si>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</si>
  <si>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</si>
  <si>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</si>
  <si>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</si>
  <si>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</si>
  <si>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</si>
  <si>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</si>
  <si>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</si>
  <si>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</si>
  <si>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</si>
  <si>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</si>
  <si>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</si>
  <si>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</si>
  <si>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</si>
  <si>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</si>
  <si>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</si>
  <si>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</si>
  <si>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</si>
  <si>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</si>
  <si>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</si>
  <si>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</si>
  <si>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</si>
  <si>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</si>
  <si>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</si>
  <si>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</si>
  <si>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</si>
  <si>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</si>
  <si>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</si>
  <si>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</si>
  <si>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</si>
  <si>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</si>
  <si>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</si>
  <si>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</si>
  <si>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</si>
  <si>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</si>
  <si>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</si>
  <si>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</si>
  <si>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</si>
  <si>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</si>
  <si>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</si>
  <si>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</si>
  <si>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</si>
  <si>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</si>
  <si>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</si>
  <si>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</si>
  <si>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</si>
  <si>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</si>
  <si>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</si>
  <si>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</si>
  <si>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</si>
  <si>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</si>
  <si>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</si>
  <si>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</si>
  <si>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</si>
  <si>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</si>
  <si>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</si>
  <si>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</si>
  <si>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</si>
  <si>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</si>
  <si>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</si>
  <si>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</si>
  <si>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</si>
  <si>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Question No:1</t>
  </si>
  <si>
    <t>Using Sum Function</t>
  </si>
  <si>
    <t>Sum(D2:D35)</t>
  </si>
  <si>
    <t>Total No of Products in the dataset:</t>
  </si>
  <si>
    <t>Total Price of the all products in the dataset:</t>
  </si>
  <si>
    <t>Using CountA Fuction</t>
  </si>
  <si>
    <t>CountA(B2:B35)</t>
  </si>
  <si>
    <t>Using Average Function</t>
  </si>
  <si>
    <t>Average price of the products:</t>
  </si>
  <si>
    <t>Average(D2:D35)</t>
  </si>
  <si>
    <t>Question No:2</t>
  </si>
  <si>
    <t>Using Minimum Function</t>
  </si>
  <si>
    <t>Minimum Price of the all products:</t>
  </si>
  <si>
    <t>Min(D2:D35)</t>
  </si>
  <si>
    <t>Using Maximum Function</t>
  </si>
  <si>
    <t>Maximum Price of the all products:</t>
  </si>
  <si>
    <t>Max(D2:D35)</t>
  </si>
  <si>
    <t>Price Range</t>
  </si>
  <si>
    <t>Question No:3</t>
  </si>
  <si>
    <t>Using IF Function</t>
  </si>
  <si>
    <t>Using IF Function to categorize the products of the dataset</t>
  </si>
  <si>
    <t>IF(D2&gt;=500,"High Price","Standard Price")</t>
  </si>
  <si>
    <t>Question No:4</t>
  </si>
  <si>
    <t>Using SumIF Function to calculate the total price of products in electronics category</t>
  </si>
  <si>
    <t>Using CountIF Function to determine the nuimber of products less than 100</t>
  </si>
  <si>
    <t>Conditional Function</t>
  </si>
  <si>
    <t>SUMIF(G2:G35,"Electronics",D2:D35)</t>
  </si>
  <si>
    <t>Question No:5</t>
  </si>
  <si>
    <t>Text Formatting</t>
  </si>
  <si>
    <t>Using Left Function</t>
  </si>
  <si>
    <t>Using Right Function</t>
  </si>
  <si>
    <t>left(A2,2)</t>
  </si>
  <si>
    <t>Right(A2,2)</t>
  </si>
  <si>
    <t>Using Mid Function</t>
  </si>
  <si>
    <t>Mid(A2,4,3)</t>
  </si>
  <si>
    <t>Left</t>
  </si>
  <si>
    <t>Right</t>
  </si>
  <si>
    <t>Mid</t>
  </si>
  <si>
    <t>COUNTIF(D2:D35,"&lt;100")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</si>
</sst>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409]#,##0.00"/>
  </numFmts>
  <fonts count="15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4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6"/>
      <color rgb="FF000000"/>
      <name val="Aptos"/>
      <family val="2"/>
    </font>
    <font>
      <sz val="14"/>
      <color rgb="FF000000"/>
      <name val="Arial"/>
      <family val="2"/>
      <scheme val="minor"/>
    </font>
    <font>
      <b/>
      <sz val="14"/>
      <color rgb="FF000000"/>
      <name val="Aptos"/>
      <family val="2"/>
    </font>
    <font>
      <b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4" borderId="0" xfId="0" applyFont="1" applyFill="1"/>
    <xf numFmtId="0" fontId="9" fillId="0" borderId="0" xfId="0" applyFont="1"/>
    <xf numFmtId="0" fontId="9" fillId="0" borderId="0" xfId="0" applyFont="1" applyAlignment="1">
      <alignment horizontal="left" vertical="top"/>
    </xf>
    <xf numFmtId="0" fontId="8" fillId="5" borderId="0" xfId="0" applyFont="1" applyFill="1"/>
    <xf numFmtId="0" fontId="8" fillId="5" borderId="0" xfId="0" applyFont="1" applyFill="1" applyAlignment="1">
      <alignment horizontal="center"/>
    </xf>
    <xf numFmtId="0" fontId="8" fillId="6" borderId="0" xfId="0" applyFont="1" applyFill="1"/>
    <xf numFmtId="0" fontId="10" fillId="2" borderId="0" xfId="0" applyFont="1" applyFill="1" applyAlignment="1">
      <alignment horizontal="center"/>
    </xf>
    <xf numFmtId="0" fontId="9" fillId="7" borderId="0" xfId="0" applyFont="1" applyFill="1"/>
    <xf numFmtId="0" fontId="12" fillId="6" borderId="0" xfId="0" applyFont="1" applyFill="1"/>
    <xf numFmtId="0" fontId="11" fillId="4" borderId="0" xfId="0" applyFont="1" applyFill="1" applyAlignment="1">
      <alignment vertical="center"/>
    </xf>
    <xf numFmtId="0" fontId="9" fillId="6" borderId="0" xfId="0" applyFont="1" applyFill="1" applyAlignment="1">
      <alignment vertical="top"/>
    </xf>
    <xf numFmtId="0" fontId="9" fillId="6" borderId="0" xfId="0" applyFont="1" applyFill="1"/>
    <xf numFmtId="0" fontId="9" fillId="5" borderId="0" xfId="0" applyFont="1" applyFill="1"/>
    <xf numFmtId="0" fontId="13" fillId="4" borderId="0" xfId="0" applyFont="1" applyFill="1" applyAlignment="1">
      <alignment vertical="center"/>
    </xf>
    <xf numFmtId="0" fontId="5" fillId="5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166" fontId="8" fillId="5" borderId="0" xfId="0" applyNumberFormat="1" applyFont="1" applyFill="1" applyAlignment="1">
      <alignment horizontal="center"/>
    </xf>
    <xf numFmtId="0" fontId="1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6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tabSelected="1" topLeftCell="K13" workbookViewId="0">
      <selection activeCell="P31" sqref="P31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4" width="12.6640625" customWidth="1"/>
    <col min="5" max="5" width="15.77734375" customWidth="1"/>
    <col min="6" max="6" width="11.5546875" customWidth="1"/>
    <col min="7" max="7" width="12.6640625" customWidth="1"/>
    <col min="12" max="12" width="45.109375" bestFit="1" customWidth="1"/>
    <col min="14" max="14" width="34.6640625" bestFit="1" customWidth="1"/>
    <col min="16" max="16" width="86.44140625" customWidth="1"/>
    <col min="18" max="18" width="37.77734375" customWidth="1"/>
  </cols>
  <sheetData>
    <row r="1" spans="1:18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14" t="s">
        <v>127</v>
      </c>
      <c r="F1" s="5" t="s">
        <v>21</v>
      </c>
      <c r="G1" s="5" t="s">
        <v>22</v>
      </c>
      <c r="H1" s="22" t="s">
        <v>145</v>
      </c>
      <c r="I1" s="5" t="s">
        <v>146</v>
      </c>
      <c r="J1" s="5" t="s">
        <v>147</v>
      </c>
      <c r="K1" s="23"/>
    </row>
    <row r="2" spans="1:18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 t="str">
        <f>IF(D2&gt;500,"High Price","Standard Price")</f>
        <v>High Price</v>
      </c>
      <c r="F2" s="6">
        <v>30</v>
      </c>
      <c r="G2" s="6" t="s">
        <v>26</v>
      </c>
      <c r="H2" s="6" t="str">
        <f>LEFT(A2,2)</f>
        <v>28</v>
      </c>
      <c r="I2" t="str">
        <f>RIGHT(A2,2)</f>
        <v>US</v>
      </c>
      <c r="J2" t="str">
        <f>MID(A2,4,3)</f>
        <v>JAN</v>
      </c>
    </row>
    <row r="3" spans="1:18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6" t="str">
        <f>IF(D3&gt;500,"High Price","Standard Price")</f>
        <v>Standard Price</v>
      </c>
      <c r="F3" s="7">
        <v>15</v>
      </c>
      <c r="G3" s="7" t="s">
        <v>30</v>
      </c>
      <c r="H3" s="6" t="str">
        <f t="shared" ref="H3:H35" si="0">LEFT(A3,2)</f>
        <v>15</v>
      </c>
      <c r="I3" t="str">
        <f t="shared" ref="I3:I35" si="1">RIGHT(A3,2)</f>
        <v>US</v>
      </c>
      <c r="J3" t="str">
        <f t="shared" ref="J3:J35" si="2">MID(A3,4,3)</f>
        <v>FEB</v>
      </c>
    </row>
    <row r="4" spans="1:18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 t="str">
        <f t="shared" ref="E4:E35" si="3">IF(D4&gt;500,"High Price","Standard Price")</f>
        <v>Standard Price</v>
      </c>
      <c r="F4" s="6">
        <v>40</v>
      </c>
      <c r="G4" s="6" t="s">
        <v>34</v>
      </c>
      <c r="H4" s="6" t="str">
        <f t="shared" si="0"/>
        <v>03</v>
      </c>
      <c r="I4" t="str">
        <f t="shared" si="1"/>
        <v>US</v>
      </c>
      <c r="J4" t="str">
        <f t="shared" si="2"/>
        <v>MAR</v>
      </c>
    </row>
    <row r="5" spans="1:18" ht="15.75" customHeight="1" x14ac:dyDescent="0.3">
      <c r="A5" s="7" t="s">
        <v>35</v>
      </c>
      <c r="B5" s="7" t="s">
        <v>36</v>
      </c>
      <c r="C5" s="7" t="s">
        <v>37</v>
      </c>
      <c r="D5" s="7">
        <v>900</v>
      </c>
      <c r="E5" s="6" t="str">
        <f t="shared" si="3"/>
        <v>High Price</v>
      </c>
      <c r="F5" s="7">
        <v>25</v>
      </c>
      <c r="G5" s="7" t="s">
        <v>26</v>
      </c>
      <c r="H5" s="6" t="str">
        <f t="shared" si="0"/>
        <v>11</v>
      </c>
      <c r="I5" t="str">
        <f t="shared" si="1"/>
        <v>US</v>
      </c>
      <c r="J5" t="str">
        <f t="shared" si="2"/>
        <v>APR</v>
      </c>
      <c r="L5" s="8" t="s">
        <v>110</v>
      </c>
      <c r="N5" s="8" t="s">
        <v>120</v>
      </c>
      <c r="P5" s="8" t="s">
        <v>128</v>
      </c>
      <c r="R5" s="21" t="s">
        <v>137</v>
      </c>
    </row>
    <row r="6" spans="1:18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 t="str">
        <f t="shared" si="3"/>
        <v>Standard Price</v>
      </c>
      <c r="F6" s="6">
        <v>20</v>
      </c>
      <c r="G6" s="6" t="s">
        <v>41</v>
      </c>
      <c r="H6" s="6" t="str">
        <f t="shared" si="0"/>
        <v>22</v>
      </c>
      <c r="I6" t="str">
        <f t="shared" si="1"/>
        <v>US</v>
      </c>
      <c r="J6" t="str">
        <f t="shared" si="2"/>
        <v>MAY</v>
      </c>
    </row>
    <row r="7" spans="1:18" ht="15.75" customHeight="1" x14ac:dyDescent="0.3">
      <c r="A7" s="7" t="s">
        <v>42</v>
      </c>
      <c r="B7" s="7" t="s">
        <v>43</v>
      </c>
      <c r="C7" s="7" t="s">
        <v>44</v>
      </c>
      <c r="D7" s="7">
        <v>200</v>
      </c>
      <c r="E7" s="6" t="str">
        <f t="shared" si="3"/>
        <v>Standard Price</v>
      </c>
      <c r="F7" s="7">
        <v>45</v>
      </c>
      <c r="G7" s="7" t="s">
        <v>26</v>
      </c>
      <c r="H7" s="6" t="str">
        <f t="shared" si="0"/>
        <v>07</v>
      </c>
      <c r="I7" t="str">
        <f t="shared" si="1"/>
        <v>UK</v>
      </c>
      <c r="J7" t="str">
        <f t="shared" si="2"/>
        <v>JUN</v>
      </c>
      <c r="L7" s="13" t="s">
        <v>111</v>
      </c>
      <c r="N7" s="13" t="s">
        <v>121</v>
      </c>
      <c r="P7" s="13" t="s">
        <v>129</v>
      </c>
      <c r="R7" s="16" t="s">
        <v>138</v>
      </c>
    </row>
    <row r="8" spans="1:18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 t="str">
        <f t="shared" si="3"/>
        <v>Standard Price</v>
      </c>
      <c r="F8" s="6">
        <v>5</v>
      </c>
      <c r="G8" s="6" t="s">
        <v>30</v>
      </c>
      <c r="H8" s="6" t="str">
        <f t="shared" si="0"/>
        <v>19</v>
      </c>
      <c r="I8" t="str">
        <f t="shared" si="1"/>
        <v>UK</v>
      </c>
      <c r="J8" t="str">
        <f t="shared" si="2"/>
        <v>JUL</v>
      </c>
    </row>
    <row r="9" spans="1:18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6" t="str">
        <f t="shared" si="3"/>
        <v>Standard Price</v>
      </c>
      <c r="F9" s="7">
        <v>35</v>
      </c>
      <c r="G9" s="7" t="s">
        <v>34</v>
      </c>
      <c r="H9" s="6" t="str">
        <f t="shared" si="0"/>
        <v>23</v>
      </c>
      <c r="I9" t="str">
        <f t="shared" si="1"/>
        <v>UK</v>
      </c>
      <c r="J9" t="str">
        <f t="shared" si="2"/>
        <v>AUG</v>
      </c>
      <c r="L9" s="10" t="s">
        <v>114</v>
      </c>
      <c r="N9" s="9" t="s">
        <v>122</v>
      </c>
      <c r="P9" s="15" t="s">
        <v>130</v>
      </c>
      <c r="R9" s="19" t="s">
        <v>139</v>
      </c>
    </row>
    <row r="10" spans="1:18" ht="15.75" customHeight="1" x14ac:dyDescent="0.3">
      <c r="A10" s="6" t="s">
        <v>51</v>
      </c>
      <c r="B10" s="6" t="s">
        <v>52</v>
      </c>
      <c r="C10" s="6" t="s">
        <v>53</v>
      </c>
      <c r="D10" s="6">
        <v>500</v>
      </c>
      <c r="E10" s="6" t="str">
        <f t="shared" si="3"/>
        <v>Standard Price</v>
      </c>
      <c r="F10" s="6">
        <v>50</v>
      </c>
      <c r="G10" s="6" t="s">
        <v>26</v>
      </c>
      <c r="H10" s="6" t="str">
        <f t="shared" si="0"/>
        <v>05</v>
      </c>
      <c r="I10" t="str">
        <f t="shared" si="1"/>
        <v>UK</v>
      </c>
      <c r="J10" t="str">
        <f t="shared" si="2"/>
        <v>SEP</v>
      </c>
      <c r="L10" s="11" t="s">
        <v>112</v>
      </c>
      <c r="N10" s="11" t="s">
        <v>123</v>
      </c>
    </row>
    <row r="11" spans="1:18" ht="15.75" customHeight="1" x14ac:dyDescent="0.3">
      <c r="A11" s="7" t="s">
        <v>54</v>
      </c>
      <c r="B11" s="7" t="s">
        <v>55</v>
      </c>
      <c r="C11" s="7" t="s">
        <v>56</v>
      </c>
      <c r="D11" s="7">
        <v>130</v>
      </c>
      <c r="E11" s="6" t="str">
        <f t="shared" si="3"/>
        <v>Standard Price</v>
      </c>
      <c r="F11" s="7">
        <v>10</v>
      </c>
      <c r="G11" s="7" t="s">
        <v>41</v>
      </c>
      <c r="H11" s="6" t="str">
        <f t="shared" si="0"/>
        <v>14</v>
      </c>
      <c r="I11" t="str">
        <f t="shared" si="1"/>
        <v>UK</v>
      </c>
      <c r="J11" t="str">
        <f t="shared" si="2"/>
        <v>OCT</v>
      </c>
      <c r="L11" s="24">
        <f>SUM(D2:D35)</f>
        <v>10100</v>
      </c>
      <c r="N11" s="24">
        <f>MIN(D2:D35)</f>
        <v>30</v>
      </c>
      <c r="P11" s="11" t="s">
        <v>131</v>
      </c>
      <c r="R11" s="11" t="s">
        <v>141</v>
      </c>
    </row>
    <row r="12" spans="1:18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 t="str">
        <f t="shared" si="3"/>
        <v>High Price</v>
      </c>
      <c r="F12" s="6">
        <v>25</v>
      </c>
      <c r="G12" s="6" t="s">
        <v>26</v>
      </c>
      <c r="H12" s="6" t="str">
        <f t="shared" si="0"/>
        <v>17</v>
      </c>
      <c r="I12" t="str">
        <f t="shared" si="1"/>
        <v>IN</v>
      </c>
      <c r="J12" t="str">
        <f t="shared" si="2"/>
        <v>JUN</v>
      </c>
    </row>
    <row r="13" spans="1:18" ht="15.75" customHeight="1" x14ac:dyDescent="0.3">
      <c r="A13" s="7" t="s">
        <v>59</v>
      </c>
      <c r="B13" s="7" t="s">
        <v>28</v>
      </c>
      <c r="C13" s="7" t="s">
        <v>47</v>
      </c>
      <c r="D13" s="7">
        <v>90</v>
      </c>
      <c r="E13" s="6" t="str">
        <f t="shared" si="3"/>
        <v>Standard Price</v>
      </c>
      <c r="F13" s="7">
        <v>40</v>
      </c>
      <c r="G13" s="7" t="s">
        <v>30</v>
      </c>
      <c r="H13" s="6" t="str">
        <f t="shared" si="0"/>
        <v>25</v>
      </c>
      <c r="I13" t="str">
        <f t="shared" si="1"/>
        <v>AU</v>
      </c>
      <c r="J13" t="str">
        <f t="shared" si="2"/>
        <v>NOV</v>
      </c>
      <c r="L13" s="13" t="s">
        <v>115</v>
      </c>
      <c r="N13" s="13" t="s">
        <v>124</v>
      </c>
      <c r="R13" s="19" t="s">
        <v>140</v>
      </c>
    </row>
    <row r="14" spans="1:18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 t="str">
        <f t="shared" si="3"/>
        <v>Standard Price</v>
      </c>
      <c r="F14" s="6">
        <v>35</v>
      </c>
      <c r="G14" s="6" t="s">
        <v>34</v>
      </c>
      <c r="H14" s="6" t="str">
        <f t="shared" si="0"/>
        <v>08</v>
      </c>
      <c r="I14" t="str">
        <f t="shared" si="1"/>
        <v>DE</v>
      </c>
      <c r="J14" t="str">
        <f t="shared" si="2"/>
        <v>DEC</v>
      </c>
      <c r="N14" s="9" t="s">
        <v>125</v>
      </c>
      <c r="P14" s="17" t="s">
        <v>132</v>
      </c>
    </row>
    <row r="15" spans="1:18" ht="15.75" customHeight="1" x14ac:dyDescent="0.3">
      <c r="A15" s="7" t="s">
        <v>62</v>
      </c>
      <c r="B15" s="7" t="s">
        <v>63</v>
      </c>
      <c r="C15" s="7" t="s">
        <v>64</v>
      </c>
      <c r="D15" s="7">
        <v>150</v>
      </c>
      <c r="E15" s="6" t="str">
        <f t="shared" si="3"/>
        <v>Standard Price</v>
      </c>
      <c r="F15" s="7">
        <v>15</v>
      </c>
      <c r="G15" s="7" t="s">
        <v>26</v>
      </c>
      <c r="H15" s="6" t="str">
        <f t="shared" si="0"/>
        <v>18</v>
      </c>
      <c r="I15" t="str">
        <f t="shared" si="1"/>
        <v>CA</v>
      </c>
      <c r="J15" t="str">
        <f t="shared" si="2"/>
        <v>FEB</v>
      </c>
      <c r="L15" s="9" t="s">
        <v>113</v>
      </c>
      <c r="N15" s="11" t="s">
        <v>126</v>
      </c>
      <c r="R15" s="11" t="s">
        <v>142</v>
      </c>
    </row>
    <row r="16" spans="1:18" ht="15.75" customHeight="1" x14ac:dyDescent="0.3">
      <c r="A16" s="6" t="s">
        <v>65</v>
      </c>
      <c r="B16" s="6" t="s">
        <v>43</v>
      </c>
      <c r="C16" s="6" t="s">
        <v>66</v>
      </c>
      <c r="D16" s="6">
        <v>250</v>
      </c>
      <c r="E16" s="6" t="str">
        <f t="shared" si="3"/>
        <v>Standard Price</v>
      </c>
      <c r="F16" s="6">
        <v>20</v>
      </c>
      <c r="G16" s="6" t="s">
        <v>26</v>
      </c>
      <c r="H16" s="6" t="str">
        <f t="shared" si="0"/>
        <v>16</v>
      </c>
      <c r="I16" t="str">
        <f t="shared" si="1"/>
        <v>ES</v>
      </c>
      <c r="J16" t="str">
        <f t="shared" si="2"/>
        <v>APR</v>
      </c>
      <c r="L16" s="11" t="s">
        <v>116</v>
      </c>
      <c r="N16" s="24">
        <f>MAX(D2:D35)</f>
        <v>1000</v>
      </c>
      <c r="P16" s="16" t="s">
        <v>135</v>
      </c>
    </row>
    <row r="17" spans="1:18" ht="15.75" customHeight="1" x14ac:dyDescent="0.3">
      <c r="A17" s="7" t="s">
        <v>67</v>
      </c>
      <c r="B17" s="7" t="s">
        <v>68</v>
      </c>
      <c r="C17" s="7" t="s">
        <v>69</v>
      </c>
      <c r="D17" s="7">
        <v>50</v>
      </c>
      <c r="E17" s="6" t="str">
        <f t="shared" si="3"/>
        <v>Standard Price</v>
      </c>
      <c r="F17" s="7">
        <v>35</v>
      </c>
      <c r="G17" s="7" t="s">
        <v>70</v>
      </c>
      <c r="H17" s="6" t="str">
        <f t="shared" si="0"/>
        <v>21</v>
      </c>
      <c r="I17" t="str">
        <f t="shared" si="1"/>
        <v>CA</v>
      </c>
      <c r="J17" t="str">
        <f t="shared" si="2"/>
        <v>AUG</v>
      </c>
      <c r="L17" s="12">
        <f>COUNTA(B2:B35)</f>
        <v>34</v>
      </c>
      <c r="R17" s="19" t="s">
        <v>143</v>
      </c>
    </row>
    <row r="18" spans="1:18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 t="str">
        <f t="shared" si="3"/>
        <v>Standard Price</v>
      </c>
      <c r="F18" s="6">
        <v>15</v>
      </c>
      <c r="G18" s="6" t="s">
        <v>26</v>
      </c>
      <c r="H18" s="6" t="str">
        <f t="shared" si="0"/>
        <v>20</v>
      </c>
      <c r="I18" t="str">
        <f t="shared" si="1"/>
        <v>CN</v>
      </c>
      <c r="J18" t="str">
        <f t="shared" si="2"/>
        <v>AUG</v>
      </c>
      <c r="P18" s="18" t="s">
        <v>133</v>
      </c>
    </row>
    <row r="19" spans="1:18" ht="15.75" customHeight="1" x14ac:dyDescent="0.3">
      <c r="A19" s="7" t="s">
        <v>73</v>
      </c>
      <c r="B19" s="7" t="s">
        <v>24</v>
      </c>
      <c r="C19" s="7" t="s">
        <v>74</v>
      </c>
      <c r="D19" s="7">
        <v>980</v>
      </c>
      <c r="E19" s="6" t="str">
        <f t="shared" si="3"/>
        <v>High Price</v>
      </c>
      <c r="F19" s="7">
        <v>10</v>
      </c>
      <c r="G19" s="7" t="s">
        <v>26</v>
      </c>
      <c r="H19" s="6" t="str">
        <f t="shared" si="0"/>
        <v>27</v>
      </c>
      <c r="I19" t="str">
        <f t="shared" si="1"/>
        <v>IT</v>
      </c>
      <c r="J19" t="str">
        <f t="shared" si="2"/>
        <v>JAN</v>
      </c>
      <c r="R19" s="11" t="s">
        <v>144</v>
      </c>
    </row>
    <row r="20" spans="1:18" ht="15.75" customHeight="1" x14ac:dyDescent="0.3">
      <c r="A20" s="6" t="s">
        <v>75</v>
      </c>
      <c r="B20" s="6" t="s">
        <v>76</v>
      </c>
      <c r="C20" s="6" t="s">
        <v>77</v>
      </c>
      <c r="D20" s="6">
        <v>150</v>
      </c>
      <c r="E20" s="6" t="str">
        <f t="shared" si="3"/>
        <v>Standard Price</v>
      </c>
      <c r="F20" s="6">
        <v>15</v>
      </c>
      <c r="G20" s="6" t="s">
        <v>30</v>
      </c>
      <c r="H20" s="6" t="str">
        <f t="shared" si="0"/>
        <v>01</v>
      </c>
      <c r="I20" t="str">
        <f t="shared" si="1"/>
        <v>UK</v>
      </c>
      <c r="J20" t="str">
        <f t="shared" si="2"/>
        <v>MAR</v>
      </c>
      <c r="L20" s="13" t="s">
        <v>117</v>
      </c>
      <c r="P20" s="20" t="s">
        <v>136</v>
      </c>
    </row>
    <row r="21" spans="1:18" ht="15.75" customHeight="1" x14ac:dyDescent="0.3">
      <c r="A21" s="7" t="s">
        <v>78</v>
      </c>
      <c r="B21" s="7" t="s">
        <v>79</v>
      </c>
      <c r="C21" s="7" t="s">
        <v>80</v>
      </c>
      <c r="D21" s="7">
        <v>200</v>
      </c>
      <c r="E21" s="6" t="str">
        <f t="shared" si="3"/>
        <v>Standard Price</v>
      </c>
      <c r="F21" s="7">
        <v>10</v>
      </c>
      <c r="G21" s="7" t="s">
        <v>41</v>
      </c>
      <c r="H21" s="6" t="str">
        <f t="shared" si="0"/>
        <v>14</v>
      </c>
      <c r="I21" t="str">
        <f t="shared" si="1"/>
        <v>US</v>
      </c>
      <c r="J21" t="str">
        <f t="shared" si="2"/>
        <v>AUG</v>
      </c>
      <c r="P21" s="24">
        <f>SUMIF(G2:G35,"Electronics",D2:D35)</f>
        <v>8050</v>
      </c>
    </row>
    <row r="22" spans="1:18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 t="str">
        <f t="shared" si="3"/>
        <v>High Price</v>
      </c>
      <c r="F22" s="6">
        <v>50</v>
      </c>
      <c r="G22" s="6" t="s">
        <v>26</v>
      </c>
      <c r="H22" s="6" t="str">
        <f t="shared" si="0"/>
        <v>14</v>
      </c>
      <c r="I22" t="str">
        <f t="shared" si="1"/>
        <v>RU</v>
      </c>
      <c r="J22" t="str">
        <f t="shared" si="2"/>
        <v>MAY</v>
      </c>
      <c r="L22" s="9" t="s">
        <v>118</v>
      </c>
    </row>
    <row r="23" spans="1:18" ht="15.75" customHeight="1" x14ac:dyDescent="0.3">
      <c r="A23" s="7" t="s">
        <v>84</v>
      </c>
      <c r="B23" s="7" t="s">
        <v>85</v>
      </c>
      <c r="C23" s="7" t="s">
        <v>86</v>
      </c>
      <c r="D23" s="7">
        <v>80</v>
      </c>
      <c r="E23" s="6" t="str">
        <f t="shared" si="3"/>
        <v>Standard Price</v>
      </c>
      <c r="F23" s="7">
        <v>20</v>
      </c>
      <c r="G23" s="7" t="s">
        <v>34</v>
      </c>
      <c r="H23" s="6" t="str">
        <f t="shared" si="0"/>
        <v>09</v>
      </c>
      <c r="I23" t="str">
        <f t="shared" si="1"/>
        <v>CA</v>
      </c>
      <c r="J23" t="str">
        <f t="shared" si="2"/>
        <v>JAN</v>
      </c>
      <c r="L23" s="11" t="s">
        <v>119</v>
      </c>
    </row>
    <row r="24" spans="1:18" ht="15.75" customHeight="1" x14ac:dyDescent="0.3">
      <c r="A24" s="6" t="s">
        <v>87</v>
      </c>
      <c r="B24" s="6" t="s">
        <v>88</v>
      </c>
      <c r="C24" s="6" t="s">
        <v>89</v>
      </c>
      <c r="D24" s="6">
        <v>150</v>
      </c>
      <c r="E24" s="6" t="str">
        <f t="shared" si="3"/>
        <v>Standard Price</v>
      </c>
      <c r="F24" s="6">
        <v>30</v>
      </c>
      <c r="G24" s="6" t="s">
        <v>26</v>
      </c>
      <c r="H24" s="6" t="str">
        <f t="shared" si="0"/>
        <v>19</v>
      </c>
      <c r="I24" t="str">
        <f t="shared" si="1"/>
        <v>BR</v>
      </c>
      <c r="J24" t="str">
        <f t="shared" si="2"/>
        <v>JUL</v>
      </c>
      <c r="L24" s="24">
        <f>AVERAGE(D2:D35)</f>
        <v>297.05882352941177</v>
      </c>
      <c r="P24" s="18" t="s">
        <v>134</v>
      </c>
    </row>
    <row r="25" spans="1:18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6" t="str">
        <f t="shared" si="3"/>
        <v>Standard Price</v>
      </c>
      <c r="F25" s="7">
        <v>35</v>
      </c>
      <c r="G25" s="7" t="s">
        <v>70</v>
      </c>
      <c r="H25" s="6" t="str">
        <f t="shared" si="0"/>
        <v>21</v>
      </c>
      <c r="I25" t="str">
        <f t="shared" si="1"/>
        <v>CA</v>
      </c>
      <c r="J25" t="str">
        <f t="shared" si="2"/>
        <v>AUG</v>
      </c>
    </row>
    <row r="26" spans="1:18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 t="str">
        <f t="shared" si="3"/>
        <v>High Price</v>
      </c>
      <c r="F26" s="6">
        <v>45</v>
      </c>
      <c r="G26" s="6" t="s">
        <v>26</v>
      </c>
      <c r="H26" s="6" t="str">
        <f t="shared" si="0"/>
        <v>29</v>
      </c>
      <c r="I26" t="str">
        <f t="shared" si="1"/>
        <v>CA</v>
      </c>
      <c r="J26" t="str">
        <f t="shared" si="2"/>
        <v>SEP</v>
      </c>
      <c r="P26" s="25" t="s">
        <v>148</v>
      </c>
    </row>
    <row r="27" spans="1:18" ht="15.75" customHeight="1" x14ac:dyDescent="0.3">
      <c r="A27" s="7" t="s">
        <v>92</v>
      </c>
      <c r="B27" s="7" t="s">
        <v>76</v>
      </c>
      <c r="C27" s="7" t="s">
        <v>93</v>
      </c>
      <c r="D27" s="7">
        <v>130</v>
      </c>
      <c r="E27" s="6" t="str">
        <f t="shared" si="3"/>
        <v>Standard Price</v>
      </c>
      <c r="F27" s="7">
        <v>25</v>
      </c>
      <c r="G27" s="7" t="s">
        <v>30</v>
      </c>
      <c r="H27" s="6" t="str">
        <f t="shared" si="0"/>
        <v>03</v>
      </c>
      <c r="I27" t="str">
        <f t="shared" si="1"/>
        <v>CA</v>
      </c>
      <c r="J27" t="str">
        <f t="shared" si="2"/>
        <v>JUN</v>
      </c>
      <c r="P27" s="12">
        <f>COUNTIF(D2:D35,"&lt;100")</f>
        <v>11</v>
      </c>
    </row>
    <row r="28" spans="1:18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 t="str">
        <f t="shared" si="3"/>
        <v>Standard Price</v>
      </c>
      <c r="F28" s="6">
        <v>40</v>
      </c>
      <c r="G28" s="6" t="s">
        <v>34</v>
      </c>
      <c r="H28" s="6" t="str">
        <f t="shared" si="0"/>
        <v>11</v>
      </c>
      <c r="I28" t="str">
        <f t="shared" si="1"/>
        <v>CA</v>
      </c>
      <c r="J28" t="str">
        <f t="shared" si="2"/>
        <v>JUL</v>
      </c>
    </row>
    <row r="29" spans="1:18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6" t="str">
        <f t="shared" si="3"/>
        <v>Standard Price</v>
      </c>
      <c r="F29" s="7">
        <v>20</v>
      </c>
      <c r="G29" s="7" t="s">
        <v>26</v>
      </c>
      <c r="H29" s="6" t="str">
        <f t="shared" si="0"/>
        <v>16</v>
      </c>
      <c r="I29" t="str">
        <f t="shared" si="1"/>
        <v>ES</v>
      </c>
      <c r="J29" t="str">
        <f t="shared" si="2"/>
        <v>APR</v>
      </c>
    </row>
    <row r="30" spans="1:18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 t="str">
        <f t="shared" si="3"/>
        <v>Standard Price</v>
      </c>
      <c r="F30" s="6">
        <v>30</v>
      </c>
      <c r="G30" s="6" t="s">
        <v>30</v>
      </c>
      <c r="H30" s="6" t="str">
        <f t="shared" si="0"/>
        <v>07</v>
      </c>
      <c r="I30" t="str">
        <f t="shared" si="1"/>
        <v>CA</v>
      </c>
      <c r="J30" t="str">
        <f t="shared" si="2"/>
        <v>MAR</v>
      </c>
    </row>
    <row r="31" spans="1:18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6" t="str">
        <f t="shared" si="3"/>
        <v>Standard Price</v>
      </c>
      <c r="F31" s="7">
        <v>10</v>
      </c>
      <c r="G31" s="7" t="s">
        <v>34</v>
      </c>
      <c r="H31" s="6" t="str">
        <f t="shared" si="0"/>
        <v>13</v>
      </c>
      <c r="I31" t="str">
        <f t="shared" si="1"/>
        <v>CA</v>
      </c>
      <c r="J31" t="str">
        <f t="shared" si="2"/>
        <v>APR</v>
      </c>
    </row>
    <row r="32" spans="1:18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 t="str">
        <f t="shared" si="3"/>
        <v>Standard Price</v>
      </c>
      <c r="F32" s="6">
        <v>5</v>
      </c>
      <c r="G32" s="6" t="s">
        <v>26</v>
      </c>
      <c r="H32" s="6" t="str">
        <f t="shared" si="0"/>
        <v>24</v>
      </c>
      <c r="I32" t="str">
        <f t="shared" si="1"/>
        <v>CA</v>
      </c>
      <c r="J32" t="str">
        <f t="shared" si="2"/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6" t="str">
        <f t="shared" si="3"/>
        <v>Standard Price</v>
      </c>
      <c r="F33" s="7">
        <v>50</v>
      </c>
      <c r="G33" s="7" t="s">
        <v>30</v>
      </c>
      <c r="H33" s="6" t="str">
        <f t="shared" si="0"/>
        <v>02</v>
      </c>
      <c r="I33" t="str">
        <f t="shared" si="1"/>
        <v>CA</v>
      </c>
      <c r="J33" t="str">
        <f t="shared" si="2"/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 t="str">
        <f t="shared" si="3"/>
        <v>High Price</v>
      </c>
      <c r="F34" s="6">
        <v>25</v>
      </c>
      <c r="G34" s="6" t="s">
        <v>26</v>
      </c>
      <c r="H34" s="6" t="str">
        <f t="shared" si="0"/>
        <v>17</v>
      </c>
      <c r="I34" t="str">
        <f t="shared" si="1"/>
        <v>IN</v>
      </c>
      <c r="J34" t="str">
        <f t="shared" si="2"/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6" t="str">
        <f t="shared" si="3"/>
        <v>Standard Price</v>
      </c>
      <c r="F35" s="7">
        <v>20</v>
      </c>
      <c r="G35" s="7" t="s">
        <v>70</v>
      </c>
      <c r="H35" s="6" t="str">
        <f t="shared" si="0"/>
        <v>09</v>
      </c>
      <c r="I35" t="str">
        <f t="shared" si="1"/>
        <v>FR</v>
      </c>
      <c r="J35" t="str">
        <f t="shared" si="2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rameshkumar</dc:creator>
  <cp:lastModifiedBy>umasaji23@outlook.com</cp:lastModifiedBy>
  <dcterms:created xsi:type="dcterms:W3CDTF">2026-08-19T13:53:30Z</dcterms:created>
  <dcterms:modified xsi:type="dcterms:W3CDTF">2026-08-19T14:25:36Z</dcterms:modified>
</cp:coreProperties>
</file>